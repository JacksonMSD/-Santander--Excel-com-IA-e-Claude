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ichau\Desktop\"/>
    </mc:Choice>
  </mc:AlternateContent>
  <xr:revisionPtr revIDLastSave="0" documentId="13_ncr:1_{99578627-28F0-4FE9-9D6A-AB44AE7BA6DB}" xr6:coauthVersionLast="47" xr6:coauthVersionMax="47" xr10:uidLastSave="{00000000-0000-0000-0000-000000000000}"/>
  <bookViews>
    <workbookView xWindow="2940" yWindow="0" windowWidth="19500" windowHeight="15600" xr2:uid="{00000000-000D-0000-FFFF-FFFF00000000}"/>
  </bookViews>
  <sheets>
    <sheet name=" F.I" sheetId="1" r:id="rId1"/>
    <sheet name="Planilha1" sheetId="2" r:id="rId2"/>
  </sheets>
  <definedNames>
    <definedName name="anos_investimento">' F.I'!$K$16</definedName>
    <definedName name="aporte">' F.I'!$K$14</definedName>
    <definedName name="dividendo_mensal">' F.I'!$K$22</definedName>
    <definedName name="patrimonio_acumulado">' F.I'!$K$20</definedName>
    <definedName name="rendimento_carteira">' F.I'!$O$16</definedName>
    <definedName name="salario">' F.I'!$N$15</definedName>
    <definedName name="sugestao_invest">' F.I'!$N$17</definedName>
    <definedName name="taxa_mensal">' F.I'!$K$18</definedName>
    <definedName name="taxa_mensal_rendimento">' F.I'!$K$18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O26" i="1"/>
  <c r="P26" i="1" s="1"/>
  <c r="O27" i="1"/>
  <c r="P27" i="1" s="1"/>
  <c r="O28" i="1"/>
  <c r="P28" i="1" s="1"/>
  <c r="O29" i="1"/>
  <c r="P29" i="1" s="1"/>
  <c r="O24" i="1"/>
  <c r="P24" i="1" s="1"/>
  <c r="P30" i="1" s="1"/>
  <c r="A8" i="2"/>
  <c r="A9" i="2"/>
  <c r="A10" i="2"/>
  <c r="A11" i="2"/>
  <c r="A12" i="2"/>
  <c r="A13" i="2"/>
  <c r="A14" i="2"/>
  <c r="A15" i="2"/>
  <c r="A16" i="2"/>
  <c r="A17" i="2"/>
  <c r="A18" i="2"/>
  <c r="A19" i="2"/>
  <c r="A3" i="2"/>
  <c r="A4" i="2"/>
  <c r="A5" i="2"/>
  <c r="A6" i="2"/>
  <c r="A7" i="2"/>
  <c r="A2" i="2"/>
  <c r="J27" i="1"/>
  <c r="K27" i="1" s="1"/>
  <c r="J28" i="1"/>
  <c r="K28" i="1" s="1"/>
  <c r="J29" i="1"/>
  <c r="K29" i="1" s="1"/>
  <c r="J30" i="1"/>
  <c r="K30" i="1" s="1"/>
  <c r="J26" i="1"/>
  <c r="K26" i="1" s="1"/>
  <c r="K20" i="1"/>
  <c r="K22" i="1" s="1"/>
</calcChain>
</file>

<file path=xl/sharedStrings.xml><?xml version="1.0" encoding="utf-8"?>
<sst xmlns="http://schemas.openxmlformats.org/spreadsheetml/2006/main" count="68" uniqueCount="32">
  <si>
    <t>Quanto investir por mês ?</t>
  </si>
  <si>
    <t>Por quantos anos ?</t>
  </si>
  <si>
    <t>Patrimonio acumulado ?</t>
  </si>
  <si>
    <t>Taxa de rendimento mensal ?</t>
  </si>
  <si>
    <t>Dividendo mensal</t>
  </si>
  <si>
    <t>Quanto em 2 Anos ?</t>
  </si>
  <si>
    <t>Quanto em 5 Anos ?</t>
  </si>
  <si>
    <t>Quanto em 10 Anos ?</t>
  </si>
  <si>
    <t>Quanto em 20 Anos ?</t>
  </si>
  <si>
    <t>Quanto em 30 Anos ?</t>
  </si>
  <si>
    <t>Cenários</t>
  </si>
  <si>
    <t>Dividendo</t>
  </si>
  <si>
    <t>Configurações</t>
  </si>
  <si>
    <t>Salário</t>
  </si>
  <si>
    <t>Rendimento Carteira</t>
  </si>
  <si>
    <t>Rendimento Investimento</t>
  </si>
  <si>
    <t>Perfil</t>
  </si>
  <si>
    <t>Papel</t>
  </si>
  <si>
    <t>Tijolo</t>
  </si>
  <si>
    <t>Hibridos</t>
  </si>
  <si>
    <t>Fofs</t>
  </si>
  <si>
    <t>Desenvolvimento</t>
  </si>
  <si>
    <t>Hotelarias</t>
  </si>
  <si>
    <t>% Sugerido</t>
  </si>
  <si>
    <t>Valores</t>
  </si>
  <si>
    <t>Conservador</t>
  </si>
  <si>
    <t>Valor investido mensalmente</t>
  </si>
  <si>
    <t>Tipo de FI</t>
  </si>
  <si>
    <t>%</t>
  </si>
  <si>
    <t>Chave composta</t>
  </si>
  <si>
    <t>Agressivo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</si>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</sst>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8" fontId="3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8" fontId="0" fillId="3" borderId="1" xfId="0" applyNumberFormat="1" applyFill="1" applyBorder="1" applyAlignment="1">
      <alignment horizontal="right" vertical="center"/>
    </xf>
    <xf numFmtId="0" fontId="2" fillId="5" borderId="2" xfId="0" applyFont="1" applyFill="1" applyBorder="1"/>
    <xf numFmtId="0" fontId="0" fillId="5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/>
    <xf numFmtId="44" fontId="0" fillId="3" borderId="5" xfId="1" applyFont="1" applyFill="1" applyBorder="1"/>
    <xf numFmtId="44" fontId="0" fillId="3" borderId="5" xfId="1" applyFont="1" applyFill="1" applyBorder="1" applyAlignment="1">
      <alignment horizontal="center" vertical="center"/>
    </xf>
    <xf numFmtId="44" fontId="0" fillId="3" borderId="7" xfId="1" applyFont="1" applyFill="1" applyBorder="1" applyAlignment="1">
      <alignment horizontal="center" vertical="center"/>
    </xf>
    <xf numFmtId="10" fontId="0" fillId="3" borderId="5" xfId="0" applyNumberFormat="1" applyFill="1" applyBorder="1" applyAlignment="1">
      <alignment horizontal="center" vertical="center"/>
    </xf>
    <xf numFmtId="0" fontId="5" fillId="4" borderId="1" xfId="0" applyFont="1" applyFill="1" applyBorder="1"/>
    <xf numFmtId="0" fontId="1" fillId="6" borderId="0" xfId="0" applyFont="1" applyFill="1"/>
    <xf numFmtId="0" fontId="6" fillId="6" borderId="8" xfId="0" applyFont="1" applyFill="1" applyBorder="1"/>
    <xf numFmtId="0" fontId="0" fillId="3" borderId="9" xfId="0" applyFill="1" applyBorder="1"/>
    <xf numFmtId="9" fontId="0" fillId="3" borderId="0" xfId="2" applyFont="1" applyFill="1" applyBorder="1"/>
    <xf numFmtId="0" fontId="1" fillId="7" borderId="6" xfId="0" applyFont="1" applyFill="1" applyBorder="1"/>
    <xf numFmtId="0" fontId="1" fillId="7" borderId="11" xfId="0" applyFont="1" applyFill="1" applyBorder="1"/>
    <xf numFmtId="44" fontId="1" fillId="7" borderId="7" xfId="0" applyNumberFormat="1" applyFont="1" applyFill="1" applyBorder="1"/>
    <xf numFmtId="0" fontId="6" fillId="7" borderId="2" xfId="0" applyFont="1" applyFill="1" applyBorder="1"/>
    <xf numFmtId="0" fontId="6" fillId="7" borderId="10" xfId="0" applyFont="1" applyFill="1" applyBorder="1"/>
    <xf numFmtId="0" fontId="6" fillId="7" borderId="3" xfId="0" applyFont="1" applyFill="1" applyBorder="1"/>
    <xf numFmtId="0" fontId="0" fillId="0" borderId="0" xfId="0" applyAlignment="1">
      <alignment horizontal="left" vertical="center"/>
    </xf>
    <xf numFmtId="9" fontId="0" fillId="0" borderId="0" xfId="2" applyFont="1" applyAlignment="1">
      <alignment horizontal="left" vertical="center"/>
    </xf>
    <xf numFmtId="0" fontId="6" fillId="8" borderId="3" xfId="0" applyFont="1" applyFill="1" applyBorder="1"/>
    <xf numFmtId="0" fontId="1" fillId="4" borderId="1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 F.I'!$O$23</c:f>
              <c:strCache>
                <c:ptCount val="1"/>
                <c:pt idx="0">
                  <c:v>%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27-43A7-A224-9B79B61DE7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27-43A7-A224-9B79B61DE7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27-43A7-A224-9B79B61DE7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27-43A7-A224-9B79B61DE7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27-43A7-A224-9B79B61DE7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427-43A7-A224-9B79B61DE77F}"/>
              </c:ext>
            </c:extLst>
          </c:dPt>
          <c:cat>
            <c:strRef>
              <c:f>' F.I'!$N$24:$N$29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 F.I'!$O$24:$O$29</c:f>
              <c:numCache>
                <c:formatCode>0%</c:formatCode>
                <c:ptCount val="6"/>
                <c:pt idx="0">
                  <c:v>0.5</c:v>
                </c:pt>
                <c:pt idx="1">
                  <c:v>0.3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3-44B8-8FEF-F012C50DF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>
              <a:lumMod val="95000"/>
              <a:lumOff val="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498020</xdr:colOff>
      <xdr:row>2</xdr:row>
      <xdr:rowOff>93888</xdr:rowOff>
    </xdr:from>
    <xdr:to>
      <xdr:col>18</xdr:col>
      <xdr:colOff>81643</xdr:colOff>
      <xdr:row>11</xdr:row>
      <xdr:rowOff>46263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9C57CD56-4A4B-786A-3593-0E73B2AD06C0}"/>
            </a:ext>
          </a:extLst>
        </xdr:cNvPr>
        <xdr:cNvSpPr/>
      </xdr:nvSpPr>
      <xdr:spPr>
        <a:xfrm>
          <a:off x="1110341" y="474888"/>
          <a:ext cx="11204123" cy="1666875"/>
        </a:xfrm>
        <a:prstGeom prst="roundRect">
          <a:avLst/>
        </a:prstGeom>
        <a:gradFill flip="none" rotWithShape="1">
          <a:gsLst>
            <a:gs pos="0">
              <a:schemeClr val="accent6">
                <a:lumMod val="75000"/>
                <a:shade val="30000"/>
                <a:satMod val="115000"/>
              </a:schemeClr>
            </a:gs>
            <a:gs pos="50000">
              <a:schemeClr val="accent6">
                <a:lumMod val="75000"/>
                <a:shade val="67500"/>
                <a:satMod val="115000"/>
              </a:schemeClr>
            </a:gs>
            <a:gs pos="100000">
              <a:schemeClr val="accent6">
                <a:lumMod val="75000"/>
                <a:shade val="100000"/>
                <a:satMod val="115000"/>
              </a:schemeClr>
            </a:gs>
          </a:gsLst>
          <a:lin ang="13500000" scaled="1"/>
          <a:tileRect/>
        </a:gradFill>
        <a:ln w="76200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99334</xdr:colOff>
      <xdr:row>4</xdr:row>
      <xdr:rowOff>118382</xdr:rowOff>
    </xdr:from>
    <xdr:to>
      <xdr:col>17</xdr:col>
      <xdr:colOff>406856</xdr:colOff>
      <xdr:row>9</xdr:row>
      <xdr:rowOff>80282</xdr:rowOff>
    </xdr:to>
    <xdr:pic>
      <xdr:nvPicPr>
        <xdr:cNvPr id="4" name="Gráfico 3" descr="Dinheiro voador com preenchimento sólido">
          <a:extLst>
            <a:ext uri="{FF2B5EF4-FFF2-40B4-BE49-F238E27FC236}">
              <a16:creationId xmlns:a16="http://schemas.microsoft.com/office/drawing/2014/main" id="{C4FC55BB-A451-8D6A-E981-80D23557D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21763" y="880382"/>
          <a:ext cx="919843" cy="914400"/>
        </a:xfrm>
        <a:prstGeom prst="rect">
          <a:avLst/>
        </a:prstGeom>
      </xdr:spPr>
    </xdr:pic>
    <xdr:clientData/>
  </xdr:twoCellAnchor>
  <xdr:twoCellAnchor>
    <xdr:from>
      <xdr:col>8</xdr:col>
      <xdr:colOff>28575</xdr:colOff>
      <xdr:row>3</xdr:row>
      <xdr:rowOff>180975</xdr:rowOff>
    </xdr:from>
    <xdr:to>
      <xdr:col>14</xdr:col>
      <xdr:colOff>314325</xdr:colOff>
      <xdr:row>9</xdr:row>
      <xdr:rowOff>66675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1FD596E6-3521-4B9F-FA8E-6F30881DF023}"/>
            </a:ext>
          </a:extLst>
        </xdr:cNvPr>
        <xdr:cNvSpPr txBox="1"/>
      </xdr:nvSpPr>
      <xdr:spPr>
        <a:xfrm>
          <a:off x="1247775" y="752475"/>
          <a:ext cx="7000875" cy="1028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2800" b="1" i="0">
              <a:solidFill>
                <a:schemeClr val="bg1"/>
              </a:solidFill>
            </a:rPr>
            <a:t>Projeto</a:t>
          </a:r>
          <a:r>
            <a:rPr lang="pt-BR" sz="2800" b="1" i="0" baseline="0">
              <a:solidFill>
                <a:schemeClr val="bg1"/>
              </a:solidFill>
            </a:rPr>
            <a:t> - Ferramenta de Investimento</a:t>
          </a:r>
          <a:endParaRPr lang="pt-BR" sz="2800" b="1" i="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342341</xdr:colOff>
      <xdr:row>31</xdr:row>
      <xdr:rowOff>52667</xdr:rowOff>
    </xdr:from>
    <xdr:to>
      <xdr:col>10</xdr:col>
      <xdr:colOff>681879</xdr:colOff>
      <xdr:row>42</xdr:row>
      <xdr:rowOff>47904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A20047-23E6-5392-16A8-34B693C78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44"/>
  <sheetViews>
    <sheetView showGridLines="0" tabSelected="1" topLeftCell="G10" zoomScale="85" zoomScaleNormal="85" workbookViewId="0">
      <selection activeCell="O36" sqref="O36"/>
    </sheetView>
  </sheetViews>
  <sheetFormatPr defaultColWidth="0" defaultRowHeight="15" x14ac:dyDescent="0.25"/>
  <cols>
    <col min="1" max="6" width="0" hidden="1" customWidth="1"/>
    <col min="7" max="8" width="9.140625" customWidth="1"/>
    <col min="9" max="9" width="36" customWidth="1"/>
    <col min="10" max="10" width="15.5703125" customWidth="1"/>
    <col min="11" max="11" width="14" bestFit="1" customWidth="1"/>
    <col min="12" max="12" width="1.28515625" customWidth="1"/>
    <col min="13" max="13" width="9.140625" customWidth="1"/>
    <col min="14" max="14" width="24.7109375" bestFit="1" customWidth="1"/>
    <col min="15" max="15" width="30.140625" bestFit="1" customWidth="1"/>
    <col min="16" max="16" width="15.85546875" bestFit="1" customWidth="1"/>
    <col min="17" max="19" width="9.140625" customWidth="1"/>
    <col min="20" max="20" width="0" hidden="1" customWidth="1"/>
    <col min="21" max="21" width="9.140625" customWidth="1"/>
    <col min="22" max="16384" width="9.140625" hidden="1"/>
  </cols>
  <sheetData>
    <row r="2" spans="8:19" x14ac:dyDescent="0.25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8:19" x14ac:dyDescent="0.25"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8:19" x14ac:dyDescent="0.25"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8:19" x14ac:dyDescent="0.25"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8:19" x14ac:dyDescent="0.25"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8:19" x14ac:dyDescent="0.25"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8:19" x14ac:dyDescent="0.25"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8:19" x14ac:dyDescent="0.25"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8:19" x14ac:dyDescent="0.25"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8:19" x14ac:dyDescent="0.25"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8:19" x14ac:dyDescent="0.25"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8:19" ht="15.75" thickBot="1" x14ac:dyDescent="0.3"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8:19" ht="20.25" thickTop="1" thickBot="1" x14ac:dyDescent="0.35">
      <c r="H14" s="1"/>
      <c r="I14" s="17" t="s">
        <v>0</v>
      </c>
      <c r="J14" s="1"/>
      <c r="K14" s="3">
        <v>500</v>
      </c>
      <c r="L14" s="1"/>
      <c r="M14" s="1"/>
      <c r="N14" s="8" t="s">
        <v>12</v>
      </c>
      <c r="O14" s="9"/>
      <c r="P14" s="1"/>
      <c r="Q14" s="1"/>
      <c r="R14" s="1"/>
      <c r="S14" s="1"/>
    </row>
    <row r="15" spans="8:19" ht="16.5" thickTop="1" thickBot="1" x14ac:dyDescent="0.3">
      <c r="H15" s="1"/>
      <c r="I15" s="1"/>
      <c r="J15" s="1"/>
      <c r="K15" s="1"/>
      <c r="L15" s="1"/>
      <c r="M15" s="1"/>
      <c r="N15" s="10" t="s">
        <v>13</v>
      </c>
      <c r="O15" s="14">
        <v>5000</v>
      </c>
      <c r="P15" s="1"/>
      <c r="Q15" s="1"/>
      <c r="R15" s="1"/>
      <c r="S15" s="1"/>
    </row>
    <row r="16" spans="8:19" ht="20.25" thickTop="1" thickBot="1" x14ac:dyDescent="0.35">
      <c r="H16" s="1"/>
      <c r="I16" s="17" t="s">
        <v>1</v>
      </c>
      <c r="J16" s="1"/>
      <c r="K16" s="3">
        <v>5</v>
      </c>
      <c r="L16" s="1"/>
      <c r="M16" s="1"/>
      <c r="N16" s="10" t="s">
        <v>14</v>
      </c>
      <c r="O16" s="16">
        <v>6.0000000000000001E-3</v>
      </c>
      <c r="P16" s="1"/>
      <c r="Q16" s="1"/>
      <c r="R16" s="1"/>
      <c r="S16" s="1"/>
    </row>
    <row r="17" spans="8:20" ht="16.5" thickTop="1" thickBot="1" x14ac:dyDescent="0.3">
      <c r="H17" s="1"/>
      <c r="I17" s="1"/>
      <c r="J17" s="1"/>
      <c r="K17" s="1"/>
      <c r="L17" s="1"/>
      <c r="M17" s="1"/>
      <c r="N17" s="11" t="s">
        <v>15</v>
      </c>
      <c r="O17" s="15">
        <v>1500</v>
      </c>
      <c r="P17" s="1"/>
      <c r="Q17" s="1"/>
      <c r="R17" s="1"/>
      <c r="S17" s="1"/>
    </row>
    <row r="18" spans="8:20" ht="20.25" thickTop="1" thickBot="1" x14ac:dyDescent="0.35">
      <c r="H18" s="1"/>
      <c r="I18" s="17" t="s">
        <v>3</v>
      </c>
      <c r="J18" s="1"/>
      <c r="K18" s="4">
        <v>1.0789999999999999E-2</v>
      </c>
      <c r="L18" s="1"/>
      <c r="M18" s="1"/>
      <c r="N18" s="1"/>
      <c r="O18" s="1"/>
      <c r="P18" s="1"/>
      <c r="Q18" s="1"/>
      <c r="R18" s="1"/>
      <c r="S18" s="1"/>
    </row>
    <row r="19" spans="8:20" ht="17.25" thickTop="1" thickBot="1" x14ac:dyDescent="0.3">
      <c r="H19" s="1"/>
      <c r="I19" s="1"/>
      <c r="J19" s="1"/>
      <c r="K19" s="1"/>
      <c r="L19" s="1"/>
      <c r="M19" s="1"/>
      <c r="N19" s="19" t="s">
        <v>16</v>
      </c>
      <c r="O19" s="30" t="s">
        <v>26</v>
      </c>
      <c r="P19" s="1"/>
      <c r="Q19" s="1"/>
      <c r="R19" s="1"/>
      <c r="S19" s="1"/>
    </row>
    <row r="20" spans="8:20" ht="20.25" thickTop="1" thickBot="1" x14ac:dyDescent="0.35">
      <c r="H20" s="1"/>
      <c r="I20" s="17" t="s">
        <v>2</v>
      </c>
      <c r="J20" s="1"/>
      <c r="K20" s="5">
        <f>FV(K18,K16*12,K14*-1)</f>
        <v>41888.456999243819</v>
      </c>
      <c r="L20" s="1"/>
      <c r="M20" s="1"/>
      <c r="N20" s="20" t="s">
        <v>30</v>
      </c>
      <c r="O20" s="12">
        <v>500</v>
      </c>
      <c r="P20" s="1"/>
      <c r="Q20" s="1"/>
      <c r="R20" s="1"/>
      <c r="S20" s="1"/>
    </row>
    <row r="21" spans="8:20" ht="16.5" thickTop="1" thickBot="1" x14ac:dyDescent="0.3"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8:20" ht="20.25" thickTop="1" thickBot="1" x14ac:dyDescent="0.35">
      <c r="H22" s="1"/>
      <c r="I22" s="17" t="s">
        <v>4</v>
      </c>
      <c r="J22" s="1"/>
      <c r="K22" s="5">
        <f>K20*$O$16</f>
        <v>251.33074199546292</v>
      </c>
      <c r="L22" s="1"/>
      <c r="M22" s="1"/>
      <c r="N22" s="1"/>
      <c r="O22" s="1"/>
      <c r="P22" s="1"/>
      <c r="Q22" s="1"/>
      <c r="R22" s="1"/>
      <c r="S22" s="1"/>
    </row>
    <row r="23" spans="8:20" ht="16.5" thickTop="1" x14ac:dyDescent="0.25">
      <c r="H23" s="1"/>
      <c r="I23" s="1"/>
      <c r="J23" s="1"/>
      <c r="K23" s="1"/>
      <c r="L23" s="1"/>
      <c r="M23" s="1"/>
      <c r="N23" s="25" t="s">
        <v>27</v>
      </c>
      <c r="O23" s="26" t="s">
        <v>23</v>
      </c>
      <c r="P23" s="27" t="s">
        <v>24</v>
      </c>
      <c r="Q23" s="1"/>
      <c r="R23" s="1"/>
      <c r="S23" s="1"/>
    </row>
    <row r="24" spans="8:20" ht="15.75" thickBot="1" x14ac:dyDescent="0.3">
      <c r="H24" s="1"/>
      <c r="I24" s="1"/>
      <c r="J24" s="1"/>
      <c r="K24" s="1"/>
      <c r="L24" s="1"/>
      <c r="M24" s="1"/>
      <c r="N24" s="10" t="s">
        <v>17</v>
      </c>
      <c r="O24" s="21">
        <f>_xlfn.XLOOKUP($N$20&amp;"-"&amp;N24,Planilha1!A:A,Planilha1!D:D,"-")</f>
        <v>0.5</v>
      </c>
      <c r="P24" s="13">
        <f>O24*$O$20</f>
        <v>250</v>
      </c>
      <c r="Q24" s="1"/>
      <c r="R24" s="1"/>
      <c r="S24" s="1"/>
    </row>
    <row r="25" spans="8:20" ht="16.5" thickTop="1" thickBot="1" x14ac:dyDescent="0.3">
      <c r="H25" s="1"/>
      <c r="I25" s="31" t="s">
        <v>10</v>
      </c>
      <c r="J25" s="31"/>
      <c r="K25" s="6" t="s">
        <v>11</v>
      </c>
      <c r="L25" s="1"/>
      <c r="M25" s="1"/>
      <c r="N25" s="10" t="s">
        <v>18</v>
      </c>
      <c r="O25" s="21">
        <v>0.3</v>
      </c>
      <c r="P25" s="13">
        <f t="shared" ref="P25:P29" si="0">O25*$O$20</f>
        <v>150</v>
      </c>
      <c r="Q25" s="1"/>
      <c r="R25" s="1"/>
      <c r="S25" s="1"/>
    </row>
    <row r="26" spans="8:20" ht="16.5" thickTop="1" thickBot="1" x14ac:dyDescent="0.3">
      <c r="H26" s="1"/>
      <c r="I26" s="2" t="s">
        <v>5</v>
      </c>
      <c r="J26" s="7">
        <f>FV($K$18,T26*12,$K$14*-1)</f>
        <v>13613.813648822608</v>
      </c>
      <c r="K26" s="7">
        <f>J26*rendimento_carteira</f>
        <v>81.682881892935654</v>
      </c>
      <c r="L26" s="1"/>
      <c r="M26" s="1"/>
      <c r="N26" s="10" t="s">
        <v>19</v>
      </c>
      <c r="O26" s="21">
        <f>_xlfn.XLOOKUP($N$20&amp;"-"&amp;N26,Planilha1!A:A,Planilha1!D:D,"-")</f>
        <v>0.05</v>
      </c>
      <c r="P26" s="13">
        <f t="shared" si="0"/>
        <v>25</v>
      </c>
      <c r="Q26" s="1"/>
      <c r="R26" s="1"/>
      <c r="S26" s="1"/>
      <c r="T26">
        <v>2</v>
      </c>
    </row>
    <row r="27" spans="8:20" ht="16.5" thickTop="1" thickBot="1" x14ac:dyDescent="0.3">
      <c r="H27" s="1"/>
      <c r="I27" s="2" t="s">
        <v>6</v>
      </c>
      <c r="J27" s="7">
        <f t="shared" ref="J27:J30" si="1">FV($K$18,T27*12,$K$14*-1)</f>
        <v>41888.456999243819</v>
      </c>
      <c r="K27" s="7">
        <f>J27*rendimento_carteira</f>
        <v>251.33074199546292</v>
      </c>
      <c r="L27" s="1"/>
      <c r="M27" s="1"/>
      <c r="N27" s="10" t="s">
        <v>20</v>
      </c>
      <c r="O27" s="21">
        <f>_xlfn.XLOOKUP($N$20&amp;"-"&amp;N27,Planilha1!A:A,Planilha1!D:D,"-")</f>
        <v>0.05</v>
      </c>
      <c r="P27" s="13">
        <f t="shared" si="0"/>
        <v>25</v>
      </c>
      <c r="Q27" s="1"/>
      <c r="R27" s="1"/>
      <c r="S27" s="1"/>
      <c r="T27">
        <v>5</v>
      </c>
    </row>
    <row r="28" spans="8:20" ht="16.5" thickTop="1" thickBot="1" x14ac:dyDescent="0.3">
      <c r="H28" s="1"/>
      <c r="I28" s="2" t="s">
        <v>7</v>
      </c>
      <c r="J28" s="7">
        <f t="shared" si="1"/>
        <v>121642.1062650861</v>
      </c>
      <c r="K28" s="7">
        <f>J28*rendimento_carteira</f>
        <v>729.85263759051657</v>
      </c>
      <c r="L28" s="1"/>
      <c r="M28" s="1"/>
      <c r="N28" s="10" t="s">
        <v>21</v>
      </c>
      <c r="O28" s="21">
        <f>_xlfn.XLOOKUP($N$20&amp;"-"&amp;N28,Planilha1!A:A,Planilha1!D:D,"-")</f>
        <v>0.2</v>
      </c>
      <c r="P28" s="13">
        <f t="shared" si="0"/>
        <v>100</v>
      </c>
      <c r="Q28" s="1"/>
      <c r="R28" s="1"/>
      <c r="S28" s="1"/>
      <c r="T28">
        <v>10</v>
      </c>
    </row>
    <row r="29" spans="8:20" ht="16.5" thickTop="1" thickBot="1" x14ac:dyDescent="0.3">
      <c r="H29" s="1"/>
      <c r="I29" s="2" t="s">
        <v>8</v>
      </c>
      <c r="J29" s="7">
        <f t="shared" si="1"/>
        <v>562599.20004854025</v>
      </c>
      <c r="K29" s="7">
        <f>J29*rendimento_carteira</f>
        <v>3375.5952002912418</v>
      </c>
      <c r="L29" s="1"/>
      <c r="M29" s="1"/>
      <c r="N29" s="10" t="s">
        <v>22</v>
      </c>
      <c r="O29" s="21">
        <f>_xlfn.XLOOKUP($N$20&amp;"-"&amp;N29,Planilha1!A:A,Planilha1!D:D,"-")</f>
        <v>0.1</v>
      </c>
      <c r="P29" s="13">
        <f t="shared" si="0"/>
        <v>50</v>
      </c>
      <c r="Q29" s="1"/>
      <c r="R29" s="1"/>
      <c r="S29" s="1"/>
      <c r="T29">
        <v>20</v>
      </c>
    </row>
    <row r="30" spans="8:20" ht="16.5" thickTop="1" thickBot="1" x14ac:dyDescent="0.3">
      <c r="H30" s="1"/>
      <c r="I30" s="2" t="s">
        <v>9</v>
      </c>
      <c r="J30" s="7">
        <f t="shared" si="1"/>
        <v>2161084.8275023573</v>
      </c>
      <c r="K30" s="7">
        <f>J30*rendimento_carteira</f>
        <v>12966.508965014144</v>
      </c>
      <c r="L30" s="1"/>
      <c r="M30" s="1"/>
      <c r="N30" s="22"/>
      <c r="O30" s="23"/>
      <c r="P30" s="24">
        <f>SUM(P24:P29)</f>
        <v>600</v>
      </c>
      <c r="Q30" s="1"/>
      <c r="R30" s="1"/>
      <c r="S30" s="1"/>
      <c r="T30">
        <v>30</v>
      </c>
    </row>
    <row r="31" spans="8:20" ht="15.75" thickTop="1" x14ac:dyDescent="0.25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8:20" x14ac:dyDescent="0.25"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8:19" x14ac:dyDescent="0.25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8:19" x14ac:dyDescent="0.25"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8:19" x14ac:dyDescent="0.25"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8:19" x14ac:dyDescent="0.25"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8:19" x14ac:dyDescent="0.25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8:19" x14ac:dyDescent="0.25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8:19" x14ac:dyDescent="0.25"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8:19" x14ac:dyDescent="0.25"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8:19" x14ac:dyDescent="0.25"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8:19" x14ac:dyDescent="0.25"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8:19" x14ac:dyDescent="0.25"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8:19" x14ac:dyDescent="0.25"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</sheetData>
  <mergeCells count="1">
    <mergeCell ref="I25:J25"/>
  </mergeCells>
  <dataValidations count="1">
    <dataValidation type="list" allowBlank="1" showInputMessage="1" showErrorMessage="1" sqref="N20" xr:uid="{7D415D28-20FC-4B68-86B9-0CC464E056AD}">
      <formula1>"Agressivo, Conservador, Moderado"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9F49-EF47-45C9-9F0F-AC3A7CEA895F}">
  <dimension ref="A1:D19"/>
  <sheetViews>
    <sheetView workbookViewId="0">
      <selection activeCell="C22" sqref="C22"/>
    </sheetView>
  </sheetViews>
  <sheetFormatPr defaultRowHeight="15" x14ac:dyDescent="0.25"/>
  <cols>
    <col min="1" max="1" width="29.140625" bestFit="1" customWidth="1"/>
    <col min="2" max="2" width="12.140625" bestFit="1" customWidth="1"/>
    <col min="3" max="3" width="16.85546875" bestFit="1" customWidth="1"/>
    <col min="4" max="4" width="6.5703125" bestFit="1" customWidth="1"/>
  </cols>
  <sheetData>
    <row r="1" spans="1:4" x14ac:dyDescent="0.25">
      <c r="A1" s="18" t="s">
        <v>29</v>
      </c>
      <c r="B1" s="18" t="s">
        <v>16</v>
      </c>
      <c r="C1" s="18" t="s">
        <v>27</v>
      </c>
      <c r="D1" s="18" t="s">
        <v>28</v>
      </c>
    </row>
    <row r="2" spans="1:4" x14ac:dyDescent="0.25">
      <c r="A2" s="28" t="str">
        <f>B2&amp;"-"&amp;C2</f>
        <v>Conservador-Papel</v>
      </c>
      <c r="B2" s="28" t="s">
        <v>25</v>
      </c>
      <c r="C2" s="28" t="s">
        <v>17</v>
      </c>
      <c r="D2" s="29">
        <v>0.3</v>
      </c>
    </row>
    <row r="3" spans="1:4" x14ac:dyDescent="0.25">
      <c r="A3" s="28" t="str">
        <f t="shared" ref="A3:A19" si="0">B3&amp;"-"&amp;C3</f>
        <v>Conservador-Tijolo</v>
      </c>
      <c r="B3" s="28" t="s">
        <v>25</v>
      </c>
      <c r="C3" s="28" t="s">
        <v>18</v>
      </c>
      <c r="D3" s="29">
        <v>0.5</v>
      </c>
    </row>
    <row r="4" spans="1:4" x14ac:dyDescent="0.25">
      <c r="A4" s="28" t="str">
        <f t="shared" si="0"/>
        <v>Conservador-Hibridos</v>
      </c>
      <c r="B4" s="28" t="s">
        <v>25</v>
      </c>
      <c r="C4" s="28" t="s">
        <v>19</v>
      </c>
      <c r="D4" s="29">
        <v>0.1</v>
      </c>
    </row>
    <row r="5" spans="1:4" x14ac:dyDescent="0.25">
      <c r="A5" s="28" t="str">
        <f t="shared" si="0"/>
        <v>Conservador-Fofs</v>
      </c>
      <c r="B5" s="28" t="s">
        <v>25</v>
      </c>
      <c r="C5" s="28" t="s">
        <v>20</v>
      </c>
      <c r="D5" s="29">
        <v>0.1</v>
      </c>
    </row>
    <row r="6" spans="1:4" x14ac:dyDescent="0.25">
      <c r="A6" s="28" t="str">
        <f t="shared" si="0"/>
        <v>Conservador-Desenvolvimento</v>
      </c>
      <c r="B6" s="28" t="s">
        <v>25</v>
      </c>
      <c r="C6" s="28" t="s">
        <v>21</v>
      </c>
      <c r="D6" s="29">
        <v>0</v>
      </c>
    </row>
    <row r="7" spans="1:4" x14ac:dyDescent="0.25">
      <c r="A7" s="28" t="str">
        <f t="shared" si="0"/>
        <v>Conservador-Hotelarias</v>
      </c>
      <c r="B7" s="28" t="s">
        <v>25</v>
      </c>
      <c r="C7" s="28" t="s">
        <v>22</v>
      </c>
      <c r="D7" s="29">
        <v>0</v>
      </c>
    </row>
    <row r="8" spans="1:4" x14ac:dyDescent="0.25">
      <c r="A8" s="28" t="str">
        <f t="shared" si="0"/>
        <v>Moderado-Papel</v>
      </c>
      <c r="B8" s="28" t="s">
        <v>31</v>
      </c>
      <c r="C8" s="28" t="s">
        <v>17</v>
      </c>
      <c r="D8" s="29">
        <v>0.32</v>
      </c>
    </row>
    <row r="9" spans="1:4" x14ac:dyDescent="0.25">
      <c r="A9" s="28" t="str">
        <f t="shared" si="0"/>
        <v>Moderado-Tijolo</v>
      </c>
      <c r="B9" s="28" t="s">
        <v>31</v>
      </c>
      <c r="C9" s="28" t="s">
        <v>18</v>
      </c>
      <c r="D9" s="29">
        <v>0.4</v>
      </c>
    </row>
    <row r="10" spans="1:4" x14ac:dyDescent="0.25">
      <c r="A10" s="28" t="str">
        <f t="shared" si="0"/>
        <v>Moderado-Hibridos</v>
      </c>
      <c r="B10" s="28" t="s">
        <v>31</v>
      </c>
      <c r="C10" s="28" t="s">
        <v>19</v>
      </c>
      <c r="D10" s="29">
        <v>0.08</v>
      </c>
    </row>
    <row r="11" spans="1:4" x14ac:dyDescent="0.25">
      <c r="A11" s="28" t="str">
        <f t="shared" si="0"/>
        <v>Moderado-Fofs</v>
      </c>
      <c r="B11" s="28" t="s">
        <v>31</v>
      </c>
      <c r="C11" s="28" t="s">
        <v>20</v>
      </c>
      <c r="D11" s="29">
        <v>0.1</v>
      </c>
    </row>
    <row r="12" spans="1:4" x14ac:dyDescent="0.25">
      <c r="A12" s="28" t="str">
        <f t="shared" si="0"/>
        <v>Moderado-Desenvolvimento</v>
      </c>
      <c r="B12" s="28" t="s">
        <v>31</v>
      </c>
      <c r="C12" s="28" t="s">
        <v>21</v>
      </c>
      <c r="D12" s="29">
        <v>0.1</v>
      </c>
    </row>
    <row r="13" spans="1:4" x14ac:dyDescent="0.25">
      <c r="A13" s="28" t="str">
        <f t="shared" si="0"/>
        <v>Moderado-Hotelarias</v>
      </c>
      <c r="B13" s="28" t="s">
        <v>31</v>
      </c>
      <c r="C13" s="28" t="s">
        <v>22</v>
      </c>
      <c r="D13" s="29">
        <v>0.1</v>
      </c>
    </row>
    <row r="14" spans="1:4" x14ac:dyDescent="0.25">
      <c r="A14" s="28" t="str">
        <f t="shared" si="0"/>
        <v>Agressivo-Papel</v>
      </c>
      <c r="B14" s="28" t="s">
        <v>30</v>
      </c>
      <c r="C14" s="28" t="s">
        <v>17</v>
      </c>
      <c r="D14" s="29">
        <v>0.5</v>
      </c>
    </row>
    <row r="15" spans="1:4" x14ac:dyDescent="0.25">
      <c r="A15" s="28" t="str">
        <f t="shared" si="0"/>
        <v>Agressivo-Tijolo</v>
      </c>
      <c r="B15" s="28" t="s">
        <v>30</v>
      </c>
      <c r="C15" s="28" t="s">
        <v>18</v>
      </c>
      <c r="D15" s="29">
        <v>0.1</v>
      </c>
    </row>
    <row r="16" spans="1:4" x14ac:dyDescent="0.25">
      <c r="A16" s="28" t="str">
        <f t="shared" si="0"/>
        <v>Agressivo-Hibridos</v>
      </c>
      <c r="B16" s="28" t="s">
        <v>30</v>
      </c>
      <c r="C16" s="28" t="s">
        <v>19</v>
      </c>
      <c r="D16" s="29">
        <v>0.05</v>
      </c>
    </row>
    <row r="17" spans="1:4" x14ac:dyDescent="0.25">
      <c r="A17" s="28" t="str">
        <f t="shared" si="0"/>
        <v>Agressivo-Fofs</v>
      </c>
      <c r="B17" s="28" t="s">
        <v>30</v>
      </c>
      <c r="C17" s="28" t="s">
        <v>20</v>
      </c>
      <c r="D17" s="29">
        <v>0.05</v>
      </c>
    </row>
    <row r="18" spans="1:4" x14ac:dyDescent="0.25">
      <c r="A18" s="28" t="str">
        <f t="shared" si="0"/>
        <v>Agressivo-Desenvolvimento</v>
      </c>
      <c r="B18" s="28" t="s">
        <v>30</v>
      </c>
      <c r="C18" s="28" t="s">
        <v>21</v>
      </c>
      <c r="D18" s="29">
        <v>0.2</v>
      </c>
    </row>
    <row r="19" spans="1:4" x14ac:dyDescent="0.25">
      <c r="A19" s="28" t="str">
        <f t="shared" si="0"/>
        <v>Agressivo-Hotelarias</v>
      </c>
      <c r="B19" s="28" t="s">
        <v>30</v>
      </c>
      <c r="C19" s="28" t="s">
        <v>22</v>
      </c>
      <c r="D19" s="2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 F.I</vt:lpstr>
      <vt:lpstr>Planilha1</vt:lpstr>
      <vt:lpstr>anos_investimento</vt:lpstr>
      <vt:lpstr>aporte</vt:lpstr>
      <vt:lpstr>dividendo_mensal</vt:lpstr>
      <vt:lpstr>patrimonio_acumulado</vt:lpstr>
      <vt:lpstr>rendimento_carteira</vt:lpstr>
      <vt:lpstr>salario</vt:lpstr>
      <vt:lpstr>sugestao_invest</vt:lpstr>
      <vt:lpstr>taxa_mensal</vt:lpstr>
      <vt:lpstr>taxa_mensal_rendimento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</dc:creator>
  <cp:lastModifiedBy>Jackson Magnum Silvestre Dizeu</cp:lastModifiedBy>
  <dcterms:created xsi:type="dcterms:W3CDTF">2015-06-05T18:19:34Z</dcterms:created>
  <dcterms:modified xsi:type="dcterms:W3CDTF">2026-10-13T03:25:00Z</dcterms:modified>
</cp:coreProperties>
</file>